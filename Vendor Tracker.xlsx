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fc34e4c0a8662/Desktop/Nithin Pillalamarri Portfolio/Certificates/"/>
    </mc:Choice>
  </mc:AlternateContent>
  <xr:revisionPtr revIDLastSave="0" documentId="8_{DFA82AEF-213E-4EFB-A2B3-94AF08C14985}" xr6:coauthVersionLast="47" xr6:coauthVersionMax="47" xr10:uidLastSave="{00000000-0000-0000-0000-000000000000}"/>
  <bookViews>
    <workbookView xWindow="-108" yWindow="-108" windowWidth="23256" windowHeight="13176" activeTab="2" xr2:uid="{F0B4B92C-2700-4CAE-8CB2-E31C135AF1E9}"/>
  </bookViews>
  <sheets>
    <sheet name="Vendor Master" sheetId="1" r:id="rId1"/>
    <sheet name="Payment Tracker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<sst xmlns="http://schemas.openxmlformats.org/spreadsheetml/2006/main" count="142" uniqueCount="82">
  <si>
    <t>Vendor ID</t>
  </si>
  <si>
    <t>Vendor Name</t>
  </si>
  <si>
    <t>Service Category</t>
  </si>
  <si>
    <t>Contact Person</t>
  </si>
  <si>
    <t>Phone</t>
  </si>
  <si>
    <t>Status</t>
  </si>
  <si>
    <t>Contract</t>
  </si>
  <si>
    <t>Performance</t>
  </si>
  <si>
    <t>Remarks</t>
  </si>
  <si>
    <t>V001</t>
  </si>
  <si>
    <t>SecureForce Pvt Ltd</t>
  </si>
  <si>
    <t>Security</t>
  </si>
  <si>
    <t>Rajesh Kumar</t>
  </si>
  <si>
    <t>Active</t>
  </si>
  <si>
    <t>Signed</t>
  </si>
  <si>
    <t>Excellent</t>
  </si>
  <si>
    <t>On Time</t>
  </si>
  <si>
    <t>V002</t>
  </si>
  <si>
    <t>CleanPro Services</t>
  </si>
  <si>
    <t>Housekeeping</t>
  </si>
  <si>
    <t>Anil Sharma</t>
  </si>
  <si>
    <t>Good</t>
  </si>
  <si>
    <t>Daily Cleaning</t>
  </si>
  <si>
    <t>V003</t>
  </si>
  <si>
    <t>Vision AV Solutions</t>
  </si>
  <si>
    <t>Audio &amp; Visual</t>
  </si>
  <si>
    <t>Ravi Verma</t>
  </si>
  <si>
    <t>LED Setup</t>
  </si>
  <si>
    <t>V004</t>
  </si>
  <si>
    <t>TasteBuds Catering</t>
  </si>
  <si>
    <t>Food &amp; Beverage</t>
  </si>
  <si>
    <t>Kiran Reddy</t>
  </si>
  <si>
    <t>VIP Catering</t>
  </si>
  <si>
    <t>V005</t>
  </si>
  <si>
    <t>MedCare Services</t>
  </si>
  <si>
    <t>Medical</t>
  </si>
  <si>
    <t>Dr. Ashok</t>
  </si>
  <si>
    <t>Ambulance Ready</t>
  </si>
  <si>
    <t>V006</t>
  </si>
  <si>
    <t>Hyderabad Prints</t>
  </si>
  <si>
    <t>Printing</t>
  </si>
  <si>
    <t>Naveen Rao</t>
  </si>
  <si>
    <t>Branding Material</t>
  </si>
  <si>
    <t>V007</t>
  </si>
  <si>
    <t>SportStyle Merchandise</t>
  </si>
  <si>
    <t>Merchandise</t>
  </si>
  <si>
    <t>Vinay Kumar</t>
  </si>
  <si>
    <t>Fan Merchandise</t>
  </si>
  <si>
    <t>V008</t>
  </si>
  <si>
    <t>Swift Logistics</t>
  </si>
  <si>
    <t>Transport</t>
  </si>
  <si>
    <t>Sandeep</t>
  </si>
  <si>
    <t>Team Transport</t>
  </si>
  <si>
    <t>V009</t>
  </si>
  <si>
    <t>TechNet Solutions</t>
  </si>
  <si>
    <t>IT Infrastructure</t>
  </si>
  <si>
    <t>Prakash</t>
  </si>
  <si>
    <t>Networking</t>
  </si>
  <si>
    <t>V010</t>
  </si>
  <si>
    <t>Arena Setup Co.</t>
  </si>
  <si>
    <t>Stage &amp; Arena</t>
  </si>
  <si>
    <t>Mahesh</t>
  </si>
  <si>
    <t>Arena Installation</t>
  </si>
  <si>
    <t>Total Amount</t>
  </si>
  <si>
    <t>Advance Paid</t>
  </si>
  <si>
    <t>Balance</t>
  </si>
  <si>
    <t>Paid 30%</t>
  </si>
  <si>
    <t>Vendor Management Dashboard</t>
  </si>
  <si>
    <t>Total Vendors
10</t>
  </si>
  <si>
    <t>Active Vendors
10</t>
  </si>
  <si>
    <t>Contracts Signed
10</t>
  </si>
  <si>
    <t>Excellent Performance
6</t>
  </si>
  <si>
    <t>Metric</t>
  </si>
  <si>
    <t>Value</t>
  </si>
  <si>
    <t>Vendor Categories</t>
  </si>
  <si>
    <t>Signed Contracts</t>
  </si>
  <si>
    <t>Average Advance Payment</t>
  </si>
  <si>
    <t>Active Vendors</t>
  </si>
  <si>
    <t>Excellent Performance</t>
  </si>
  <si>
    <t>Rating</t>
  </si>
  <si>
    <t>Count</t>
  </si>
  <si>
    <t>Note: Vendor names, contacts, and payment details shown in this workbook are fictional and created solely for educational and portfolio demonstration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</si>
</sst>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8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68" fontId="1" fillId="2" borderId="1" xfId="0" applyNumberFormat="1" applyFont="1" applyFill="1" applyBorder="1" applyAlignment="1">
      <alignment horizontal="right" vertical="center" wrapText="1"/>
    </xf>
    <xf numFmtId="168" fontId="0" fillId="0" borderId="1" xfId="0" applyNumberFormat="1" applyBorder="1" applyAlignment="1">
      <alignment horizontal="right" vertical="center" wrapText="1"/>
    </xf>
    <xf numFmtId="168" fontId="0" fillId="0" borderId="0" xfId="0" applyNumberFormat="1"/>
    <xf numFmtId="0" fontId="0" fillId="3" borderId="0" xfId="0" applyFill="1" applyAlignment="1">
      <alignment wrapText="1"/>
    </xf>
    <xf numFmtId="0" fontId="0" fillId="3" borderId="0" xfId="0" applyFill="1"/>
    <xf numFmtId="9" fontId="0" fillId="0" borderId="1" xfId="0" applyNumberFormat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Vendor Performance</a:t>
            </a:r>
          </a:p>
        </c:rich>
      </c:tx>
      <c:layout>
        <c:manualLayout>
          <c:xMode val="edge"/>
          <c:yMode val="edge"/>
          <c:x val="0.27413209946694811"/>
          <c:y val="5.8892815076560662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Dashboard!$A$15:$A$16</c:f>
              <c:strCache>
                <c:ptCount val="2"/>
                <c:pt idx="0">
                  <c:v>Excellent</c:v>
                </c:pt>
                <c:pt idx="1">
                  <c:v>Good</c:v>
                </c:pt>
              </c:strCache>
            </c:strRef>
          </c:cat>
          <c:val>
            <c:numRef>
              <c:f>Dashboard!$B$15:$B$16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3-4CFC-AD91-D2AF2D4D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257055"/>
        <c:axId val="995256575"/>
      </c:barChart>
      <c:catAx>
        <c:axId val="99525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56575"/>
        <c:crosses val="autoZero"/>
        <c:auto val="1"/>
        <c:lblAlgn val="ctr"/>
        <c:lblOffset val="100"/>
        <c:noMultiLvlLbl val="0"/>
      </c:catAx>
      <c:valAx>
        <c:axId val="99525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9</xdr:row>
      <xdr:rowOff>0</xdr:rowOff>
    </xdr:from>
    <xdr:to>
      <xdr:col>8</xdr:col>
      <xdr:colOff>220980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2B0F3-704F-3CD7-227C-362D19C71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F779-5888-45A2-9115-D86FDF869A67}">
  <dimension ref="A1:I11"/>
  <sheetViews>
    <sheetView workbookViewId="0">
      <selection activeCell="A2" sqref="A2"/>
    </sheetView>
  </sheetViews>
  <sheetFormatPr defaultRowHeight="14.4" x14ac:dyDescent="0.3"/>
  <cols>
    <col min="1" max="1" width="14.21875" customWidth="1"/>
    <col min="2" max="2" width="21.88671875" customWidth="1"/>
    <col min="3" max="3" width="19.33203125" customWidth="1"/>
    <col min="4" max="4" width="16.6640625" customWidth="1"/>
    <col min="5" max="5" width="17.21875" customWidth="1"/>
    <col min="6" max="6" width="18" customWidth="1"/>
    <col min="7" max="7" width="14.109375" customWidth="1"/>
    <col min="8" max="8" width="13.21875" customWidth="1"/>
    <col min="9" max="9" width="16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9876543210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8.8" x14ac:dyDescent="0.3">
      <c r="A3" s="2" t="s">
        <v>17</v>
      </c>
      <c r="B3" s="2" t="s">
        <v>18</v>
      </c>
      <c r="C3" s="2" t="s">
        <v>19</v>
      </c>
      <c r="D3" s="2" t="s">
        <v>20</v>
      </c>
      <c r="E3" s="2">
        <v>9876543211</v>
      </c>
      <c r="F3" s="2" t="s">
        <v>13</v>
      </c>
      <c r="G3" s="2" t="s">
        <v>14</v>
      </c>
      <c r="H3" s="2" t="s">
        <v>21</v>
      </c>
      <c r="I3" s="2" t="s">
        <v>22</v>
      </c>
    </row>
    <row r="4" spans="1:9" ht="28.8" x14ac:dyDescent="0.3">
      <c r="A4" s="2" t="s">
        <v>23</v>
      </c>
      <c r="B4" s="2" t="s">
        <v>24</v>
      </c>
      <c r="C4" s="2" t="s">
        <v>25</v>
      </c>
      <c r="D4" s="2" t="s">
        <v>26</v>
      </c>
      <c r="E4" s="2">
        <v>9876543212</v>
      </c>
      <c r="F4" s="2" t="s">
        <v>13</v>
      </c>
      <c r="G4" s="2" t="s">
        <v>14</v>
      </c>
      <c r="H4" s="2" t="s">
        <v>15</v>
      </c>
      <c r="I4" s="2" t="s">
        <v>27</v>
      </c>
    </row>
    <row r="5" spans="1:9" ht="43.2" x14ac:dyDescent="0.3">
      <c r="A5" s="2" t="s">
        <v>28</v>
      </c>
      <c r="B5" s="2" t="s">
        <v>29</v>
      </c>
      <c r="C5" s="2" t="s">
        <v>30</v>
      </c>
      <c r="D5" s="2" t="s">
        <v>31</v>
      </c>
      <c r="E5" s="2">
        <v>9876543213</v>
      </c>
      <c r="F5" s="2" t="s">
        <v>13</v>
      </c>
      <c r="G5" s="2" t="s">
        <v>14</v>
      </c>
      <c r="H5" s="2" t="s">
        <v>21</v>
      </c>
      <c r="I5" s="2" t="s">
        <v>32</v>
      </c>
    </row>
    <row r="6" spans="1:9" ht="28.8" x14ac:dyDescent="0.3">
      <c r="A6" s="2" t="s">
        <v>33</v>
      </c>
      <c r="B6" s="2" t="s">
        <v>34</v>
      </c>
      <c r="C6" s="2" t="s">
        <v>35</v>
      </c>
      <c r="D6" s="2" t="s">
        <v>36</v>
      </c>
      <c r="E6" s="2">
        <v>9876543214</v>
      </c>
      <c r="F6" s="2" t="s">
        <v>13</v>
      </c>
      <c r="G6" s="2" t="s">
        <v>14</v>
      </c>
      <c r="H6" s="2" t="s">
        <v>15</v>
      </c>
      <c r="I6" s="2" t="s">
        <v>37</v>
      </c>
    </row>
    <row r="7" spans="1:9" ht="28.8" x14ac:dyDescent="0.3">
      <c r="A7" s="2" t="s">
        <v>38</v>
      </c>
      <c r="B7" s="2" t="s">
        <v>39</v>
      </c>
      <c r="C7" s="2" t="s">
        <v>40</v>
      </c>
      <c r="D7" s="2" t="s">
        <v>41</v>
      </c>
      <c r="E7" s="2">
        <v>9876543215</v>
      </c>
      <c r="F7" s="2" t="s">
        <v>13</v>
      </c>
      <c r="G7" s="2" t="s">
        <v>14</v>
      </c>
      <c r="H7" s="2" t="s">
        <v>21</v>
      </c>
      <c r="I7" s="2" t="s">
        <v>42</v>
      </c>
    </row>
    <row r="8" spans="1:9" ht="57.6" x14ac:dyDescent="0.3">
      <c r="A8" s="2" t="s">
        <v>43</v>
      </c>
      <c r="B8" s="2" t="s">
        <v>44</v>
      </c>
      <c r="C8" s="2" t="s">
        <v>45</v>
      </c>
      <c r="D8" s="2" t="s">
        <v>46</v>
      </c>
      <c r="E8" s="2">
        <v>9876543216</v>
      </c>
      <c r="F8" s="2" t="s">
        <v>13</v>
      </c>
      <c r="G8" s="2" t="s">
        <v>14</v>
      </c>
      <c r="H8" s="2" t="s">
        <v>21</v>
      </c>
      <c r="I8" s="2" t="s">
        <v>47</v>
      </c>
    </row>
    <row r="9" spans="1:9" ht="28.8" x14ac:dyDescent="0.3">
      <c r="A9" s="2" t="s">
        <v>48</v>
      </c>
      <c r="B9" s="2" t="s">
        <v>49</v>
      </c>
      <c r="C9" s="2" t="s">
        <v>50</v>
      </c>
      <c r="D9" s="2" t="s">
        <v>51</v>
      </c>
      <c r="E9" s="2">
        <v>9876543217</v>
      </c>
      <c r="F9" s="2" t="s">
        <v>13</v>
      </c>
      <c r="G9" s="2" t="s">
        <v>14</v>
      </c>
      <c r="H9" s="2" t="s">
        <v>15</v>
      </c>
      <c r="I9" s="2" t="s">
        <v>52</v>
      </c>
    </row>
    <row r="10" spans="1:9" ht="43.2" x14ac:dyDescent="0.3">
      <c r="A10" s="2" t="s">
        <v>53</v>
      </c>
      <c r="B10" s="2" t="s">
        <v>54</v>
      </c>
      <c r="C10" s="2" t="s">
        <v>55</v>
      </c>
      <c r="D10" s="2" t="s">
        <v>56</v>
      </c>
      <c r="E10" s="2">
        <v>9876543218</v>
      </c>
      <c r="F10" s="2" t="s">
        <v>13</v>
      </c>
      <c r="G10" s="2" t="s">
        <v>14</v>
      </c>
      <c r="H10" s="2" t="s">
        <v>15</v>
      </c>
      <c r="I10" s="2" t="s">
        <v>57</v>
      </c>
    </row>
    <row r="11" spans="1:9" ht="43.2" x14ac:dyDescent="0.3">
      <c r="A11" s="2" t="s">
        <v>58</v>
      </c>
      <c r="B11" s="2" t="s">
        <v>59</v>
      </c>
      <c r="C11" s="2" t="s">
        <v>60</v>
      </c>
      <c r="D11" s="2" t="s">
        <v>61</v>
      </c>
      <c r="E11" s="2">
        <v>9876543219</v>
      </c>
      <c r="F11" s="2" t="s">
        <v>13</v>
      </c>
      <c r="G11" s="2" t="s">
        <v>14</v>
      </c>
      <c r="H11" s="2" t="s">
        <v>15</v>
      </c>
      <c r="I11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94F4-EFF4-42F3-866E-F8B70DB88271}">
  <dimension ref="A1:F11"/>
  <sheetViews>
    <sheetView workbookViewId="0">
      <selection activeCell="J21" sqref="J21"/>
    </sheetView>
  </sheetViews>
  <sheetFormatPr defaultRowHeight="14.4" x14ac:dyDescent="0.3"/>
  <cols>
    <col min="1" max="1" width="14.21875" customWidth="1"/>
    <col min="2" max="2" width="21.77734375" customWidth="1"/>
    <col min="3" max="3" width="13" style="7" customWidth="1"/>
    <col min="4" max="4" width="13.77734375" style="7" customWidth="1"/>
    <col min="5" max="5" width="13" style="7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5" t="s">
        <v>63</v>
      </c>
      <c r="D1" s="5" t="s">
        <v>64</v>
      </c>
      <c r="E1" s="5" t="s">
        <v>65</v>
      </c>
      <c r="F1" s="1" t="s">
        <v>5</v>
      </c>
    </row>
    <row r="2" spans="1:6" x14ac:dyDescent="0.3">
      <c r="A2" s="2" t="s">
        <v>9</v>
      </c>
      <c r="B2" s="2" t="s">
        <v>10</v>
      </c>
      <c r="C2" s="6">
        <v>400000</v>
      </c>
      <c r="D2" s="6">
        <v>120000</v>
      </c>
      <c r="E2" s="6">
        <f>C2-D2</f>
        <v>280000</v>
      </c>
      <c r="F2" s="2" t="s">
        <v>66</v>
      </c>
    </row>
    <row r="3" spans="1:6" x14ac:dyDescent="0.3">
      <c r="A3" s="2" t="s">
        <v>17</v>
      </c>
      <c r="B3" s="2" t="s">
        <v>18</v>
      </c>
      <c r="C3" s="6">
        <v>150000</v>
      </c>
      <c r="D3" s="6">
        <v>45000</v>
      </c>
      <c r="E3" s="6">
        <f t="shared" ref="E3:E11" si="0">C3-D3</f>
        <v>105000</v>
      </c>
      <c r="F3" s="2" t="s">
        <v>66</v>
      </c>
    </row>
    <row r="4" spans="1:6" x14ac:dyDescent="0.3">
      <c r="A4" s="2" t="s">
        <v>23</v>
      </c>
      <c r="B4" s="2" t="s">
        <v>24</v>
      </c>
      <c r="C4" s="6">
        <v>550000</v>
      </c>
      <c r="D4" s="6">
        <v>165000</v>
      </c>
      <c r="E4" s="6">
        <f t="shared" si="0"/>
        <v>385000</v>
      </c>
      <c r="F4" s="2" t="s">
        <v>66</v>
      </c>
    </row>
    <row r="5" spans="1:6" x14ac:dyDescent="0.3">
      <c r="A5" s="2" t="s">
        <v>28</v>
      </c>
      <c r="B5" s="2" t="s">
        <v>29</v>
      </c>
      <c r="C5" s="6">
        <v>300000</v>
      </c>
      <c r="D5" s="6">
        <v>90000</v>
      </c>
      <c r="E5" s="6">
        <f t="shared" si="0"/>
        <v>210000</v>
      </c>
      <c r="F5" s="2" t="s">
        <v>66</v>
      </c>
    </row>
    <row r="6" spans="1:6" x14ac:dyDescent="0.3">
      <c r="A6" s="2" t="s">
        <v>33</v>
      </c>
      <c r="B6" s="2" t="s">
        <v>34</v>
      </c>
      <c r="C6" s="6">
        <v>100000</v>
      </c>
      <c r="D6" s="6">
        <v>30000</v>
      </c>
      <c r="E6" s="6">
        <f t="shared" si="0"/>
        <v>70000</v>
      </c>
      <c r="F6" s="2" t="s">
        <v>66</v>
      </c>
    </row>
    <row r="7" spans="1:6" x14ac:dyDescent="0.3">
      <c r="A7" s="2" t="s">
        <v>38</v>
      </c>
      <c r="B7" s="2" t="s">
        <v>39</v>
      </c>
      <c r="C7" s="6">
        <v>200000</v>
      </c>
      <c r="D7" s="6">
        <v>60000</v>
      </c>
      <c r="E7" s="6">
        <f t="shared" si="0"/>
        <v>140000</v>
      </c>
      <c r="F7" s="2" t="s">
        <v>66</v>
      </c>
    </row>
    <row r="8" spans="1:6" x14ac:dyDescent="0.3">
      <c r="A8" s="2" t="s">
        <v>43</v>
      </c>
      <c r="B8" s="2" t="s">
        <v>44</v>
      </c>
      <c r="C8" s="6">
        <v>150000</v>
      </c>
      <c r="D8" s="6">
        <v>45000</v>
      </c>
      <c r="E8" s="6">
        <f t="shared" si="0"/>
        <v>105000</v>
      </c>
      <c r="F8" s="2" t="s">
        <v>66</v>
      </c>
    </row>
    <row r="9" spans="1:6" x14ac:dyDescent="0.3">
      <c r="A9" s="2" t="s">
        <v>48</v>
      </c>
      <c r="B9" s="2" t="s">
        <v>49</v>
      </c>
      <c r="C9" s="6">
        <v>225000</v>
      </c>
      <c r="D9" s="6">
        <v>67500</v>
      </c>
      <c r="E9" s="6">
        <f t="shared" si="0"/>
        <v>157500</v>
      </c>
      <c r="F9" s="2" t="s">
        <v>66</v>
      </c>
    </row>
    <row r="10" spans="1:6" x14ac:dyDescent="0.3">
      <c r="A10" s="2" t="s">
        <v>53</v>
      </c>
      <c r="B10" s="2" t="s">
        <v>54</v>
      </c>
      <c r="C10" s="6">
        <v>100000</v>
      </c>
      <c r="D10" s="6">
        <v>30000</v>
      </c>
      <c r="E10" s="6">
        <f t="shared" si="0"/>
        <v>70000</v>
      </c>
      <c r="F10" s="2" t="s">
        <v>66</v>
      </c>
    </row>
    <row r="11" spans="1:6" x14ac:dyDescent="0.3">
      <c r="A11" s="2" t="s">
        <v>58</v>
      </c>
      <c r="B11" s="2" t="s">
        <v>59</v>
      </c>
      <c r="C11" s="6">
        <v>350000</v>
      </c>
      <c r="D11" s="6">
        <v>105000</v>
      </c>
      <c r="E11" s="6">
        <f t="shared" si="0"/>
        <v>245000</v>
      </c>
      <c r="F11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A019-1B80-4E46-9CA8-3A03126E82DA}">
  <dimension ref="A1:L19"/>
  <sheetViews>
    <sheetView showGridLines="0" tabSelected="1" zoomScale="83" workbookViewId="0">
      <selection activeCell="N10" sqref="N10"/>
    </sheetView>
  </sheetViews>
  <sheetFormatPr defaultRowHeight="14.4" x14ac:dyDescent="0.3"/>
  <cols>
    <col min="1" max="1" width="17.33203125" customWidth="1"/>
  </cols>
  <sheetData>
    <row r="1" spans="1:12" ht="14.4" customHeight="1" x14ac:dyDescent="0.3">
      <c r="A1" s="11" t="s">
        <v>67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3">
      <c r="A4" s="8" t="s">
        <v>68</v>
      </c>
      <c r="B4" s="9"/>
      <c r="C4" s="8" t="s">
        <v>69</v>
      </c>
      <c r="D4" s="9"/>
      <c r="E4" s="8" t="s">
        <v>70</v>
      </c>
      <c r="F4" s="9"/>
      <c r="G4" s="8" t="s">
        <v>71</v>
      </c>
      <c r="H4" s="9"/>
    </row>
    <row r="5" spans="1:12" x14ac:dyDescent="0.3">
      <c r="A5" s="9"/>
      <c r="B5" s="9"/>
      <c r="C5" s="9"/>
      <c r="D5" s="9"/>
      <c r="E5" s="9"/>
      <c r="F5" s="9"/>
      <c r="G5" s="9"/>
      <c r="H5" s="9"/>
    </row>
    <row r="7" spans="1:12" x14ac:dyDescent="0.3">
      <c r="A7" s="1" t="s">
        <v>72</v>
      </c>
      <c r="B7" s="1" t="s">
        <v>73</v>
      </c>
    </row>
    <row r="8" spans="1:12" ht="43.2" x14ac:dyDescent="0.3">
      <c r="A8" s="2" t="s">
        <v>74</v>
      </c>
      <c r="B8" s="2">
        <v>10</v>
      </c>
    </row>
    <row r="9" spans="1:12" ht="28.8" x14ac:dyDescent="0.3">
      <c r="A9" s="2" t="s">
        <v>75</v>
      </c>
      <c r="B9" s="2">
        <v>10</v>
      </c>
    </row>
    <row r="10" spans="1:12" ht="43.2" x14ac:dyDescent="0.3">
      <c r="A10" s="2" t="s">
        <v>76</v>
      </c>
      <c r="B10" s="10">
        <v>0.3</v>
      </c>
    </row>
    <row r="11" spans="1:12" ht="28.8" x14ac:dyDescent="0.3">
      <c r="A11" s="2" t="s">
        <v>77</v>
      </c>
      <c r="B11" s="2">
        <v>10</v>
      </c>
    </row>
    <row r="12" spans="1:12" ht="43.2" x14ac:dyDescent="0.3">
      <c r="A12" s="2" t="s">
        <v>78</v>
      </c>
      <c r="B12" s="2">
        <v>6</v>
      </c>
    </row>
    <row r="14" spans="1:12" x14ac:dyDescent="0.3">
      <c r="A14" s="1" t="s">
        <v>79</v>
      </c>
      <c r="B14" s="3" t="s">
        <v>80</v>
      </c>
    </row>
    <row r="15" spans="1:12" x14ac:dyDescent="0.3">
      <c r="A15" s="2" t="s">
        <v>15</v>
      </c>
      <c r="B15" s="4">
        <v>6</v>
      </c>
    </row>
    <row r="16" spans="1:12" x14ac:dyDescent="0.3">
      <c r="A16" s="2" t="s">
        <v>21</v>
      </c>
      <c r="B16" s="4">
        <v>4</v>
      </c>
    </row>
    <row r="18" spans="1:11" x14ac:dyDescent="0.3">
      <c r="A18" s="12" t="s">
        <v>81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</sheetData>
  <mergeCells count="5">
    <mergeCell ref="A4:B5"/>
    <mergeCell ref="C4:D5"/>
    <mergeCell ref="E4:F5"/>
    <mergeCell ref="A1:L2"/>
    <mergeCell ref="G4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Master</vt:lpstr>
      <vt:lpstr>Payment Tracker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Pillalamarri</dc:creator>
  <cp:lastModifiedBy>Nithin Pillalamarri</cp:lastModifiedBy>
  <dcterms:created xsi:type="dcterms:W3CDTF">2026-06-26T17:08:34Z</dcterms:created>
  <dcterms:modified xsi:type="dcterms:W3CDTF">2026-06-26T17:27:50Z</dcterms:modified>
</cp:coreProperties>
</file>