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0" documentId="8_{0E53AB7A-884C-4E7E-A0F8-A9ACD0C7478B}" xr6:coauthVersionLast="47" xr6:coauthVersionMax="47" xr10:uidLastSave="{00000000-0000-0000-0000-000000000000}"/>
  <bookViews>
    <workbookView minimized="1" xWindow="240" yWindow="240" windowWidth="23256" windowHeight="13176" firstSheet="3" activeTab="3" xr2:uid="{51D69416-D157-463F-8079-AAEF4121FAB5}"/>
  </bookViews>
  <sheets>
    <sheet name="Budget Summary" sheetId="1" r:id="rId1"/>
    <sheet name="Budget vs Actual" sheetId="2" r:id="rId2"/>
    <sheet name="Expense Analysi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7" i="1" l="1"/>
  <c r="E2" i="1"/>
</calcChain>
</file>

<file path=xl/sharedStrings.xml><?xml version="1.0" encoding="utf-8"?>
<sst xmlns="http://schemas.openxmlformats.org/spreadsheetml/2006/main" count="73" uniqueCount="37">
  <si>
    <t>Expense Category</t>
  </si>
  <si>
    <t>Budget (₹)</t>
  </si>
  <si>
    <t>Actual (₹)</t>
  </si>
  <si>
    <t>Variance (₹)</t>
  </si>
  <si>
    <t>Status</t>
  </si>
  <si>
    <t>Venue Rental</t>
  </si>
  <si>
    <t>Audio &amp; Visual</t>
  </si>
  <si>
    <t>Stage &amp; Arena Setup</t>
  </si>
  <si>
    <t>Security</t>
  </si>
  <si>
    <t>Housekeeping</t>
  </si>
  <si>
    <t>Medical</t>
  </si>
  <si>
    <t>Food &amp; Beverage</t>
  </si>
  <si>
    <t>Printing &amp; Branding</t>
  </si>
  <si>
    <t>Merchandise</t>
  </si>
  <si>
    <t>Staff Uniforms</t>
  </si>
  <si>
    <t>Transport</t>
  </si>
  <si>
    <t>IT Infrastructure</t>
  </si>
  <si>
    <t>Insurance &amp; Permissions</t>
  </si>
  <si>
    <t>Miscellaneous</t>
  </si>
  <si>
    <t>Contingency</t>
  </si>
  <si>
    <t>TOTAL</t>
  </si>
  <si>
    <t>Percentage (%)</t>
  </si>
  <si>
    <t>Pro Kabaddi Hyderabad Event Budget Dashboard</t>
  </si>
  <si>
    <t>TOTAL BUDGET
₹39.60 Lakhs</t>
  </si>
  <si>
    <t>ACTUAL EXPENDITURE
₹38.70 Lakhs</t>
  </si>
  <si>
    <t>SAVINGS
₹90,000</t>
  </si>
  <si>
    <t>BUDGET VARIANCE
2.3%</t>
  </si>
  <si>
    <t>Metric</t>
  </si>
  <si>
    <t>Value</t>
  </si>
  <si>
    <t>Total Budget</t>
  </si>
  <si>
    <t>Actual Expenditure</t>
  </si>
  <si>
    <t>Savings</t>
  </si>
  <si>
    <t>Budget Variance</t>
  </si>
  <si>
    <t>Major Expense</t>
  </si>
  <si>
    <t>Largest Allocation</t>
  </si>
  <si>
    <t>Number of Budget Categories</t>
  </si>
  <si>
    <t>Note: This dashboard presents a summary of the estimated budget prepared for the Pro Kabaddi Hyderabad Event Management Plan. The figures are simulated for educational and 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</si>
</sst>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9"/>
      <color theme="1"/>
      <name val="ISOCT3_IV50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64" fontId="0" fillId="2" borderId="0" xfId="0" applyNumberFormat="1" applyFill="1" applyAlignment="1">
      <alignment horizontal="right" vertical="center" wrapText="1"/>
    </xf>
    <xf numFmtId="0" fontId="3" fillId="0" borderId="0" xfId="0" applyFont="1"/>
    <xf numFmtId="0" fontId="0" fillId="0" borderId="2" xfId="0" applyBorder="1" applyAlignment="1">
      <alignment vertical="center" wrapText="1"/>
    </xf>
    <xf numFmtId="164" fontId="0" fillId="0" borderId="3" xfId="0" applyNumberFormat="1" applyBorder="1" applyAlignment="1">
      <alignment horizontal="right" vertical="center" wrapText="1"/>
    </xf>
    <xf numFmtId="0" fontId="0" fillId="0" borderId="2" xfId="0" applyBorder="1"/>
    <xf numFmtId="164" fontId="0" fillId="0" borderId="3" xfId="0" applyNumberFormat="1" applyBorder="1"/>
    <xf numFmtId="0" fontId="0" fillId="0" borderId="1" xfId="0" applyBorder="1"/>
    <xf numFmtId="0" fontId="0" fillId="2" borderId="4" xfId="0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right" vertical="center" wrapText="1"/>
    </xf>
    <xf numFmtId="164" fontId="0" fillId="2" borderId="6" xfId="0" applyNumberForma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10" fontId="0" fillId="0" borderId="7" xfId="1" applyNumberFormat="1" applyFont="1" applyBorder="1"/>
    <xf numFmtId="0" fontId="3" fillId="2" borderId="7" xfId="0" applyFont="1" applyFill="1" applyBorder="1"/>
    <xf numFmtId="10" fontId="0" fillId="0" borderId="7" xfId="0" applyNumberFormat="1" applyBorder="1"/>
    <xf numFmtId="164" fontId="0" fillId="0" borderId="7" xfId="0" applyNumberFormat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6" fontId="0" fillId="0" borderId="7" xfId="0" applyNumberFormat="1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5" fillId="0" borderId="0" xfId="0" applyFont="1" applyAlignment="1">
      <alignment vertical="top"/>
    </xf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Actual Expenditure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Actual'!$B$1</c:f>
              <c:strCache>
                <c:ptCount val="1"/>
                <c:pt idx="0">
                  <c:v>Budget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vs Actual'!$A$2:$A$16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'Budget vs Actual'!$B$2:$B$16</c:f>
              <c:numCache>
                <c:formatCode>"₹"\ #,##0.00</c:formatCode>
                <c:ptCount val="15"/>
                <c:pt idx="0">
                  <c:v>800000</c:v>
                </c:pt>
                <c:pt idx="1">
                  <c:v>550000</c:v>
                </c:pt>
                <c:pt idx="2">
                  <c:v>350000</c:v>
                </c:pt>
                <c:pt idx="3">
                  <c:v>400000</c:v>
                </c:pt>
                <c:pt idx="4">
                  <c:v>150000</c:v>
                </c:pt>
                <c:pt idx="5">
                  <c:v>100000</c:v>
                </c:pt>
                <c:pt idx="6">
                  <c:v>300000</c:v>
                </c:pt>
                <c:pt idx="7">
                  <c:v>200000</c:v>
                </c:pt>
                <c:pt idx="8">
                  <c:v>150000</c:v>
                </c:pt>
                <c:pt idx="9">
                  <c:v>75000</c:v>
                </c:pt>
                <c:pt idx="10">
                  <c:v>225000</c:v>
                </c:pt>
                <c:pt idx="11">
                  <c:v>100000</c:v>
                </c:pt>
                <c:pt idx="12">
                  <c:v>125000</c:v>
                </c:pt>
                <c:pt idx="13">
                  <c:v>75000</c:v>
                </c:pt>
                <c:pt idx="1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F-4BCE-8815-ACF1D52F1F10}"/>
            </c:ext>
          </c:extLst>
        </c:ser>
        <c:ser>
          <c:idx val="1"/>
          <c:order val="1"/>
          <c:tx>
            <c:strRef>
              <c:f>'Budget vs Actual'!$C$1</c:f>
              <c:strCache>
                <c:ptCount val="1"/>
                <c:pt idx="0">
                  <c:v>Actual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vs Actual'!$A$2:$A$16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'Budget vs Actual'!$C$2:$C$16</c:f>
              <c:numCache>
                <c:formatCode>"₹"\ #,##0.00</c:formatCode>
                <c:ptCount val="15"/>
                <c:pt idx="0">
                  <c:v>790000</c:v>
                </c:pt>
                <c:pt idx="1">
                  <c:v>540000</c:v>
                </c:pt>
                <c:pt idx="2">
                  <c:v>345000</c:v>
                </c:pt>
                <c:pt idx="3">
                  <c:v>395000</c:v>
                </c:pt>
                <c:pt idx="4">
                  <c:v>148000</c:v>
                </c:pt>
                <c:pt idx="5">
                  <c:v>98000</c:v>
                </c:pt>
                <c:pt idx="6">
                  <c:v>292000</c:v>
                </c:pt>
                <c:pt idx="7">
                  <c:v>195000</c:v>
                </c:pt>
                <c:pt idx="8">
                  <c:v>145000</c:v>
                </c:pt>
                <c:pt idx="9">
                  <c:v>72000</c:v>
                </c:pt>
                <c:pt idx="10">
                  <c:v>220000</c:v>
                </c:pt>
                <c:pt idx="11">
                  <c:v>98000</c:v>
                </c:pt>
                <c:pt idx="12">
                  <c:v>120000</c:v>
                </c:pt>
                <c:pt idx="13">
                  <c:v>70000</c:v>
                </c:pt>
                <c:pt idx="14">
                  <c:v>342000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F-4BCE-8815-ACF1D52F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874368"/>
        <c:axId val="1786882528"/>
      </c:barChart>
      <c:catAx>
        <c:axId val="17868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882528"/>
        <c:crosses val="autoZero"/>
        <c:auto val="1"/>
        <c:lblAlgn val="ctr"/>
        <c:lblOffset val="100"/>
        <c:noMultiLvlLbl val="0"/>
      </c:catAx>
      <c:valAx>
        <c:axId val="17868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8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Allocation by Expense 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'Expense Analysis'!$B$1</c:f>
              <c:strCache>
                <c:ptCount val="1"/>
                <c:pt idx="0">
                  <c:v>Budget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AD-4D44-AF3B-8D99BABA42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AD-4D44-AF3B-8D99BABA42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AD-4D44-AF3B-8D99BABA42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AD-4D44-AF3B-8D99BABA42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AD-4D44-AF3B-8D99BABA42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AD-4D44-AF3B-8D99BABA42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AD-4D44-AF3B-8D99BABA42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AD-4D44-AF3B-8D99BABA42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AD-4D44-AF3B-8D99BABA42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AD-4D44-AF3B-8D99BABA42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AD-4D44-AF3B-8D99BABA42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AD-4D44-AF3B-8D99BABA42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AD-4D44-AF3B-8D99BABA42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AD-4D44-AF3B-8D99BABA42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AD-4D44-AF3B-8D99BABA42D6}"/>
              </c:ext>
            </c:extLst>
          </c:dPt>
          <c:cat>
            <c:strRef>
              <c:f>'Expense Analysis'!$A$2:$A$16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'Expense Analysis'!$B$2:$B$16</c:f>
              <c:numCache>
                <c:formatCode>"₹"\ #,##0.00</c:formatCode>
                <c:ptCount val="15"/>
                <c:pt idx="0">
                  <c:v>800000</c:v>
                </c:pt>
                <c:pt idx="1">
                  <c:v>550000</c:v>
                </c:pt>
                <c:pt idx="2">
                  <c:v>350000</c:v>
                </c:pt>
                <c:pt idx="3">
                  <c:v>400000</c:v>
                </c:pt>
                <c:pt idx="4">
                  <c:v>150000</c:v>
                </c:pt>
                <c:pt idx="5">
                  <c:v>100000</c:v>
                </c:pt>
                <c:pt idx="6">
                  <c:v>300000</c:v>
                </c:pt>
                <c:pt idx="7">
                  <c:v>200000</c:v>
                </c:pt>
                <c:pt idx="8">
                  <c:v>150000</c:v>
                </c:pt>
                <c:pt idx="9">
                  <c:v>75000</c:v>
                </c:pt>
                <c:pt idx="10">
                  <c:v>225000</c:v>
                </c:pt>
                <c:pt idx="11">
                  <c:v>100000</c:v>
                </c:pt>
                <c:pt idx="12">
                  <c:v>125000</c:v>
                </c:pt>
                <c:pt idx="13">
                  <c:v>75000</c:v>
                </c:pt>
                <c:pt idx="1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8-48B6-AAB3-EC43362A5EF4}"/>
            </c:ext>
          </c:extLst>
        </c:ser>
        <c:ser>
          <c:idx val="1"/>
          <c:order val="1"/>
          <c:tx>
            <c:strRef>
              <c:f>'Expense Analysis'!$C$1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AD-4D44-AF3B-8D99BABA42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AD-4D44-AF3B-8D99BABA42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AD-4D44-AF3B-8D99BABA42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AD-4D44-AF3B-8D99BABA42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AD-4D44-AF3B-8D99BABA42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AD-4D44-AF3B-8D99BABA42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9AD-4D44-AF3B-8D99BABA42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9AD-4D44-AF3B-8D99BABA42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9AD-4D44-AF3B-8D99BABA42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9AD-4D44-AF3B-8D99BABA42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9AD-4D44-AF3B-8D99BABA42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9AD-4D44-AF3B-8D99BABA42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9AD-4D44-AF3B-8D99BABA42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9AD-4D44-AF3B-8D99BABA42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9AD-4D44-AF3B-8D99BABA42D6}"/>
              </c:ext>
            </c:extLst>
          </c:dPt>
          <c:cat>
            <c:strRef>
              <c:f>'Expense Analysis'!$A$2:$A$16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'Expense Analysis'!$C$2:$C$16</c:f>
              <c:numCache>
                <c:formatCode>0.00%</c:formatCode>
                <c:ptCount val="15"/>
                <c:pt idx="0">
                  <c:v>0.20202020202020202</c:v>
                </c:pt>
                <c:pt idx="1">
                  <c:v>0.1388888888888889</c:v>
                </c:pt>
                <c:pt idx="2">
                  <c:v>8.8383838383838384E-2</c:v>
                </c:pt>
                <c:pt idx="3">
                  <c:v>0.10101010101010101</c:v>
                </c:pt>
                <c:pt idx="4">
                  <c:v>3.787878787878788E-2</c:v>
                </c:pt>
                <c:pt idx="5">
                  <c:v>2.5252525252525252E-2</c:v>
                </c:pt>
                <c:pt idx="6">
                  <c:v>7.575757575757576E-2</c:v>
                </c:pt>
                <c:pt idx="7">
                  <c:v>5.0505050505050504E-2</c:v>
                </c:pt>
                <c:pt idx="8">
                  <c:v>3.787878787878788E-2</c:v>
                </c:pt>
                <c:pt idx="9">
                  <c:v>1.893939393939394E-2</c:v>
                </c:pt>
                <c:pt idx="10">
                  <c:v>5.6818181818181816E-2</c:v>
                </c:pt>
                <c:pt idx="11">
                  <c:v>2.5252525252525252E-2</c:v>
                </c:pt>
                <c:pt idx="12">
                  <c:v>3.1565656565656568E-2</c:v>
                </c:pt>
                <c:pt idx="13">
                  <c:v>1.893939393939394E-2</c:v>
                </c:pt>
                <c:pt idx="1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8-48B6-AAB3-EC43362A5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Actual Expenditure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Actual'!$B$1</c:f>
              <c:strCache>
                <c:ptCount val="1"/>
                <c:pt idx="0">
                  <c:v>Budget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vs Actual'!$A$2:$A$16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'Budget vs Actual'!$B$2:$B$16</c:f>
              <c:numCache>
                <c:formatCode>"₹"\ #,##0.00</c:formatCode>
                <c:ptCount val="15"/>
                <c:pt idx="0">
                  <c:v>800000</c:v>
                </c:pt>
                <c:pt idx="1">
                  <c:v>550000</c:v>
                </c:pt>
                <c:pt idx="2">
                  <c:v>350000</c:v>
                </c:pt>
                <c:pt idx="3">
                  <c:v>400000</c:v>
                </c:pt>
                <c:pt idx="4">
                  <c:v>150000</c:v>
                </c:pt>
                <c:pt idx="5">
                  <c:v>100000</c:v>
                </c:pt>
                <c:pt idx="6">
                  <c:v>300000</c:v>
                </c:pt>
                <c:pt idx="7">
                  <c:v>200000</c:v>
                </c:pt>
                <c:pt idx="8">
                  <c:v>150000</c:v>
                </c:pt>
                <c:pt idx="9">
                  <c:v>75000</c:v>
                </c:pt>
                <c:pt idx="10">
                  <c:v>225000</c:v>
                </c:pt>
                <c:pt idx="11">
                  <c:v>100000</c:v>
                </c:pt>
                <c:pt idx="12">
                  <c:v>125000</c:v>
                </c:pt>
                <c:pt idx="13">
                  <c:v>75000</c:v>
                </c:pt>
                <c:pt idx="1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8-4374-A942-A4E0DAF0926B}"/>
            </c:ext>
          </c:extLst>
        </c:ser>
        <c:ser>
          <c:idx val="1"/>
          <c:order val="1"/>
          <c:tx>
            <c:strRef>
              <c:f>'Budget vs Actual'!$C$1</c:f>
              <c:strCache>
                <c:ptCount val="1"/>
                <c:pt idx="0">
                  <c:v>Actual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vs Actual'!$A$2:$A$16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'Budget vs Actual'!$C$2:$C$16</c:f>
              <c:numCache>
                <c:formatCode>"₹"\ #,##0.00</c:formatCode>
                <c:ptCount val="15"/>
                <c:pt idx="0">
                  <c:v>790000</c:v>
                </c:pt>
                <c:pt idx="1">
                  <c:v>540000</c:v>
                </c:pt>
                <c:pt idx="2">
                  <c:v>345000</c:v>
                </c:pt>
                <c:pt idx="3">
                  <c:v>395000</c:v>
                </c:pt>
                <c:pt idx="4">
                  <c:v>148000</c:v>
                </c:pt>
                <c:pt idx="5">
                  <c:v>98000</c:v>
                </c:pt>
                <c:pt idx="6">
                  <c:v>292000</c:v>
                </c:pt>
                <c:pt idx="7">
                  <c:v>195000</c:v>
                </c:pt>
                <c:pt idx="8">
                  <c:v>145000</c:v>
                </c:pt>
                <c:pt idx="9">
                  <c:v>72000</c:v>
                </c:pt>
                <c:pt idx="10">
                  <c:v>220000</c:v>
                </c:pt>
                <c:pt idx="11">
                  <c:v>98000</c:v>
                </c:pt>
                <c:pt idx="12">
                  <c:v>120000</c:v>
                </c:pt>
                <c:pt idx="13">
                  <c:v>70000</c:v>
                </c:pt>
                <c:pt idx="14">
                  <c:v>342000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8-4374-A942-A4E0DAF09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874368"/>
        <c:axId val="1786882528"/>
      </c:barChart>
      <c:catAx>
        <c:axId val="17868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882528"/>
        <c:crosses val="autoZero"/>
        <c:auto val="1"/>
        <c:lblAlgn val="ctr"/>
        <c:lblOffset val="100"/>
        <c:noMultiLvlLbl val="0"/>
      </c:catAx>
      <c:valAx>
        <c:axId val="17868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8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Allocation by Expense 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'Expense Analysis'!$B$1</c:f>
              <c:strCache>
                <c:ptCount val="1"/>
                <c:pt idx="0">
                  <c:v>Budget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1-4C47-8360-731E763771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1-4C47-8360-731E763771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1-4C47-8360-731E763771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1-4C47-8360-731E763771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1-4C47-8360-731E763771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71-4C47-8360-731E763771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71-4C47-8360-731E763771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71-4C47-8360-731E763771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71-4C47-8360-731E763771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71-4C47-8360-731E763771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71-4C47-8360-731E763771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71-4C47-8360-731E763771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071-4C47-8360-731E763771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071-4C47-8360-731E763771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071-4C47-8360-731E7637716D}"/>
              </c:ext>
            </c:extLst>
          </c:dPt>
          <c:cat>
            <c:strRef>
              <c:f>'Expense Analysis'!$A$2:$A$16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'Expense Analysis'!$B$2:$B$16</c:f>
              <c:numCache>
                <c:formatCode>"₹"\ #,##0.00</c:formatCode>
                <c:ptCount val="15"/>
                <c:pt idx="0">
                  <c:v>800000</c:v>
                </c:pt>
                <c:pt idx="1">
                  <c:v>550000</c:v>
                </c:pt>
                <c:pt idx="2">
                  <c:v>350000</c:v>
                </c:pt>
                <c:pt idx="3">
                  <c:v>400000</c:v>
                </c:pt>
                <c:pt idx="4">
                  <c:v>150000</c:v>
                </c:pt>
                <c:pt idx="5">
                  <c:v>100000</c:v>
                </c:pt>
                <c:pt idx="6">
                  <c:v>300000</c:v>
                </c:pt>
                <c:pt idx="7">
                  <c:v>200000</c:v>
                </c:pt>
                <c:pt idx="8">
                  <c:v>150000</c:v>
                </c:pt>
                <c:pt idx="9">
                  <c:v>75000</c:v>
                </c:pt>
                <c:pt idx="10">
                  <c:v>225000</c:v>
                </c:pt>
                <c:pt idx="11">
                  <c:v>100000</c:v>
                </c:pt>
                <c:pt idx="12">
                  <c:v>125000</c:v>
                </c:pt>
                <c:pt idx="13">
                  <c:v>75000</c:v>
                </c:pt>
                <c:pt idx="14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071-4C47-8360-731E7637716D}"/>
            </c:ext>
          </c:extLst>
        </c:ser>
        <c:ser>
          <c:idx val="1"/>
          <c:order val="1"/>
          <c:tx>
            <c:strRef>
              <c:f>'Expense Analysis'!$C$1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4071-4C47-8360-731E763771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071-4C47-8360-731E763771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071-4C47-8360-731E763771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071-4C47-8360-731E763771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071-4C47-8360-731E763771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071-4C47-8360-731E763771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071-4C47-8360-731E763771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4071-4C47-8360-731E763771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4071-4C47-8360-731E763771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4071-4C47-8360-731E763771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4071-4C47-8360-731E763771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4071-4C47-8360-731E763771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4071-4C47-8360-731E763771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4071-4C47-8360-731E763771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4071-4C47-8360-731E7637716D}"/>
              </c:ext>
            </c:extLst>
          </c:dPt>
          <c:cat>
            <c:strRef>
              <c:f>'Expense Analysis'!$A$2:$A$16</c:f>
              <c:strCache>
                <c:ptCount val="15"/>
                <c:pt idx="0">
                  <c:v>Venue Rental</c:v>
                </c:pt>
                <c:pt idx="1">
                  <c:v>Audio &amp; Visual</c:v>
                </c:pt>
                <c:pt idx="2">
                  <c:v>Stage &amp; Arena Setup</c:v>
                </c:pt>
                <c:pt idx="3">
                  <c:v>Security</c:v>
                </c:pt>
                <c:pt idx="4">
                  <c:v>Housekeeping</c:v>
                </c:pt>
                <c:pt idx="5">
                  <c:v>Medical</c:v>
                </c:pt>
                <c:pt idx="6">
                  <c:v>Food &amp; Beverage</c:v>
                </c:pt>
                <c:pt idx="7">
                  <c:v>Printing &amp; Branding</c:v>
                </c:pt>
                <c:pt idx="8">
                  <c:v>Merchandise</c:v>
                </c:pt>
                <c:pt idx="9">
                  <c:v>Staff Uniforms</c:v>
                </c:pt>
                <c:pt idx="10">
                  <c:v>Transport</c:v>
                </c:pt>
                <c:pt idx="11">
                  <c:v>IT Infrastructure</c:v>
                </c:pt>
                <c:pt idx="12">
                  <c:v>Insurance &amp; Permissions</c:v>
                </c:pt>
                <c:pt idx="13">
                  <c:v>Miscellaneous</c:v>
                </c:pt>
                <c:pt idx="14">
                  <c:v>Contingency</c:v>
                </c:pt>
              </c:strCache>
            </c:strRef>
          </c:cat>
          <c:val>
            <c:numRef>
              <c:f>'Expense Analysis'!$C$2:$C$16</c:f>
              <c:numCache>
                <c:formatCode>0.00%</c:formatCode>
                <c:ptCount val="15"/>
                <c:pt idx="0">
                  <c:v>0.20202020202020202</c:v>
                </c:pt>
                <c:pt idx="1">
                  <c:v>0.1388888888888889</c:v>
                </c:pt>
                <c:pt idx="2">
                  <c:v>8.8383838383838384E-2</c:v>
                </c:pt>
                <c:pt idx="3">
                  <c:v>0.10101010101010101</c:v>
                </c:pt>
                <c:pt idx="4">
                  <c:v>3.787878787878788E-2</c:v>
                </c:pt>
                <c:pt idx="5">
                  <c:v>2.5252525252525252E-2</c:v>
                </c:pt>
                <c:pt idx="6">
                  <c:v>7.575757575757576E-2</c:v>
                </c:pt>
                <c:pt idx="7">
                  <c:v>5.0505050505050504E-2</c:v>
                </c:pt>
                <c:pt idx="8">
                  <c:v>3.787878787878788E-2</c:v>
                </c:pt>
                <c:pt idx="9">
                  <c:v>1.893939393939394E-2</c:v>
                </c:pt>
                <c:pt idx="10">
                  <c:v>5.6818181818181816E-2</c:v>
                </c:pt>
                <c:pt idx="11">
                  <c:v>2.5252525252525252E-2</c:v>
                </c:pt>
                <c:pt idx="12">
                  <c:v>3.1565656565656568E-2</c:v>
                </c:pt>
                <c:pt idx="13">
                  <c:v>1.893939393939394E-2</c:v>
                </c:pt>
                <c:pt idx="14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071-4C47-8360-731E76377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327659</xdr:colOff>
      <xdr:row>0</xdr:row>
      <xdr:rowOff>0</xdr:rowOff>
    </xdr:from>
    <xdr:to>
      <xdr:col>13</xdr:col>
      <xdr:colOff>552060</xdr:colOff>
      <xdr:row>21</xdr:row>
      <xdr:rowOff>7776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3B721-D5E2-07FD-F16C-5B384B9E8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152000</xdr:colOff>
      <xdr:row>0</xdr:row>
      <xdr:rowOff>0</xdr:rowOff>
    </xdr:from>
    <xdr:to>
      <xdr:col>12</xdr:col>
      <xdr:colOff>60961</xdr:colOff>
      <xdr:row>18</xdr:row>
      <xdr:rowOff>108084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9340D-D42A-251C-BC75-07F763363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4</xdr:col>
      <xdr:colOff>38101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B2EAF-17B8-4EC4-8A04-F7CE911B0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10</xdr:row>
      <xdr:rowOff>0</xdr:rowOff>
    </xdr:from>
    <xdr:to>
      <xdr:col>8</xdr:col>
      <xdr:colOff>16213</xdr:colOff>
      <xdr:row>23</xdr:row>
      <xdr:rowOff>48000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17C0E-D763-4C3D-A0EE-03C878486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2135-E2F4-4DD1-89D7-2328F5D79EB8}">
  <dimension ref="A1:E17"/>
  <sheetViews>
    <sheetView zoomScale="82" workbookViewId="0">
      <selection activeCell="H15" sqref="H15"/>
    </sheetView>
  </sheetViews>
  <sheetFormatPr defaultRowHeight="14.4"/>
  <cols>
    <col min="1" max="1" width="28.5546875" customWidth="1"/>
    <col min="2" max="2" width="14.21875" style="8" customWidth="1"/>
    <col min="3" max="3" width="14" style="8" customWidth="1"/>
    <col min="4" max="4" width="15" style="8" customWidth="1"/>
    <col min="5" max="5" width="17" customWidth="1"/>
  </cols>
  <sheetData>
    <row r="1" spans="1:5">
      <c r="A1" s="4" t="s">
        <v>0</v>
      </c>
      <c r="B1" s="6" t="s">
        <v>1</v>
      </c>
      <c r="C1" s="6" t="s">
        <v>2</v>
      </c>
      <c r="D1" s="6" t="s">
        <v>3</v>
      </c>
      <c r="E1" s="5" t="s">
        <v>4</v>
      </c>
    </row>
    <row r="2" spans="1:5">
      <c r="A2" s="1" t="s">
        <v>5</v>
      </c>
      <c r="B2" s="7">
        <v>800000</v>
      </c>
      <c r="C2" s="7">
        <v>790000</v>
      </c>
      <c r="D2" s="7">
        <f t="shared" ref="D2:D16" si="0">B2-C2</f>
        <v>10000</v>
      </c>
      <c r="E2" s="1" t="str">
        <f>IF(D2&gt;=0,"Within Budget","Over Budget")</f>
        <v>Within Budget</v>
      </c>
    </row>
    <row r="3" spans="1:5">
      <c r="A3" s="1" t="s">
        <v>6</v>
      </c>
      <c r="B3" s="7">
        <v>550000</v>
      </c>
      <c r="C3" s="7">
        <v>540000</v>
      </c>
      <c r="D3" s="7">
        <f t="shared" si="0"/>
        <v>10000</v>
      </c>
      <c r="E3" s="1" t="str">
        <f t="shared" ref="E3:E16" si="1">IF(D3&gt;=0,"Within Budget","Over Budget")</f>
        <v>Within Budget</v>
      </c>
    </row>
    <row r="4" spans="1:5">
      <c r="A4" s="1" t="s">
        <v>7</v>
      </c>
      <c r="B4" s="7">
        <v>350000</v>
      </c>
      <c r="C4" s="7">
        <v>345000</v>
      </c>
      <c r="D4" s="8">
        <f t="shared" si="0"/>
        <v>5000</v>
      </c>
      <c r="E4" s="1" t="str">
        <f t="shared" si="1"/>
        <v>Within Budget</v>
      </c>
    </row>
    <row r="5" spans="1:5">
      <c r="A5" s="1" t="s">
        <v>8</v>
      </c>
      <c r="B5" s="7">
        <v>400000</v>
      </c>
      <c r="C5" s="7">
        <v>395000</v>
      </c>
      <c r="D5" s="8">
        <f t="shared" si="0"/>
        <v>5000</v>
      </c>
      <c r="E5" s="1" t="str">
        <f t="shared" si="1"/>
        <v>Within Budget</v>
      </c>
    </row>
    <row r="6" spans="1:5">
      <c r="A6" s="1" t="s">
        <v>9</v>
      </c>
      <c r="B6" s="7">
        <v>150000</v>
      </c>
      <c r="C6" s="7">
        <v>148000</v>
      </c>
      <c r="D6" s="8">
        <f t="shared" si="0"/>
        <v>2000</v>
      </c>
      <c r="E6" s="1" t="str">
        <f t="shared" si="1"/>
        <v>Within Budget</v>
      </c>
    </row>
    <row r="7" spans="1:5">
      <c r="A7" s="1" t="s">
        <v>10</v>
      </c>
      <c r="B7" s="7">
        <v>100000</v>
      </c>
      <c r="C7" s="7">
        <v>98000</v>
      </c>
      <c r="D7" s="8">
        <f t="shared" si="0"/>
        <v>2000</v>
      </c>
      <c r="E7" s="1" t="str">
        <f t="shared" si="1"/>
        <v>Within Budget</v>
      </c>
    </row>
    <row r="8" spans="1:5">
      <c r="A8" s="1" t="s">
        <v>11</v>
      </c>
      <c r="B8" s="7">
        <v>300000</v>
      </c>
      <c r="C8" s="7">
        <v>292000</v>
      </c>
      <c r="D8" s="8">
        <f t="shared" si="0"/>
        <v>8000</v>
      </c>
      <c r="E8" s="1" t="str">
        <f t="shared" si="1"/>
        <v>Within Budget</v>
      </c>
    </row>
    <row r="9" spans="1:5">
      <c r="A9" s="1" t="s">
        <v>12</v>
      </c>
      <c r="B9" s="7">
        <v>200000</v>
      </c>
      <c r="C9" s="7">
        <v>195000</v>
      </c>
      <c r="D9" s="8">
        <f t="shared" si="0"/>
        <v>5000</v>
      </c>
      <c r="E9" s="1" t="str">
        <f t="shared" si="1"/>
        <v>Within Budget</v>
      </c>
    </row>
    <row r="10" spans="1:5">
      <c r="A10" s="1" t="s">
        <v>13</v>
      </c>
      <c r="B10" s="7">
        <v>150000</v>
      </c>
      <c r="C10" s="7">
        <v>145000</v>
      </c>
      <c r="D10" s="8">
        <f t="shared" si="0"/>
        <v>5000</v>
      </c>
      <c r="E10" s="1" t="str">
        <f t="shared" si="1"/>
        <v>Within Budget</v>
      </c>
    </row>
    <row r="11" spans="1:5">
      <c r="A11" s="1" t="s">
        <v>14</v>
      </c>
      <c r="B11" s="7">
        <v>75000</v>
      </c>
      <c r="C11" s="7">
        <v>72000</v>
      </c>
      <c r="D11" s="8">
        <f t="shared" si="0"/>
        <v>3000</v>
      </c>
      <c r="E11" s="1" t="str">
        <f t="shared" si="1"/>
        <v>Within Budget</v>
      </c>
    </row>
    <row r="12" spans="1:5">
      <c r="A12" s="1" t="s">
        <v>15</v>
      </c>
      <c r="B12" s="7">
        <v>225000</v>
      </c>
      <c r="C12" s="7">
        <v>220000</v>
      </c>
      <c r="D12" s="8">
        <f t="shared" si="0"/>
        <v>5000</v>
      </c>
      <c r="E12" s="1" t="str">
        <f t="shared" si="1"/>
        <v>Within Budget</v>
      </c>
    </row>
    <row r="13" spans="1:5">
      <c r="A13" s="1" t="s">
        <v>16</v>
      </c>
      <c r="B13" s="7">
        <v>100000</v>
      </c>
      <c r="C13" s="7">
        <v>98000</v>
      </c>
      <c r="D13" s="8">
        <f t="shared" si="0"/>
        <v>2000</v>
      </c>
      <c r="E13" s="1" t="str">
        <f t="shared" si="1"/>
        <v>Within Budget</v>
      </c>
    </row>
    <row r="14" spans="1:5">
      <c r="A14" s="1" t="s">
        <v>17</v>
      </c>
      <c r="B14" s="7">
        <v>125000</v>
      </c>
      <c r="C14" s="7">
        <v>120000</v>
      </c>
      <c r="D14" s="8">
        <f t="shared" si="0"/>
        <v>5000</v>
      </c>
      <c r="E14" s="1" t="str">
        <f t="shared" si="1"/>
        <v>Within Budget</v>
      </c>
    </row>
    <row r="15" spans="1:5">
      <c r="A15" s="1" t="s">
        <v>18</v>
      </c>
      <c r="B15" s="7">
        <v>75000</v>
      </c>
      <c r="C15" s="7">
        <v>70000</v>
      </c>
      <c r="D15" s="7">
        <f t="shared" si="0"/>
        <v>5000</v>
      </c>
      <c r="E15" s="1" t="str">
        <f t="shared" si="1"/>
        <v>Within Budget</v>
      </c>
    </row>
    <row r="16" spans="1:5">
      <c r="A16" s="1" t="s">
        <v>19</v>
      </c>
      <c r="B16" s="7">
        <v>360000</v>
      </c>
      <c r="C16" s="7">
        <v>342000</v>
      </c>
      <c r="D16" s="7">
        <f t="shared" si="0"/>
        <v>18000</v>
      </c>
      <c r="E16" s="1" t="str">
        <f t="shared" si="1"/>
        <v>Within Budget</v>
      </c>
    </row>
    <row r="17" spans="1:5">
      <c r="A17" s="2" t="s">
        <v>20</v>
      </c>
      <c r="B17" s="6">
        <v>3960000</v>
      </c>
      <c r="C17" s="6">
        <v>3870000</v>
      </c>
      <c r="D17" s="9">
        <f>SUM(D2:D16)</f>
        <v>90000</v>
      </c>
      <c r="E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44DA-9CDF-4317-B924-CD1A80FF6EB5}">
  <dimension ref="A1:F16"/>
  <sheetViews>
    <sheetView zoomScale="92" zoomScaleNormal="81" workbookViewId="0">
      <selection activeCell="H25" sqref="H25"/>
    </sheetView>
  </sheetViews>
  <sheetFormatPr defaultRowHeight="14.4"/>
  <cols>
    <col min="1" max="1" width="26.33203125" style="13" customWidth="1"/>
    <col min="2" max="2" width="22.44140625" style="8" customWidth="1"/>
    <col min="3" max="3" width="20.6640625" style="14" customWidth="1"/>
  </cols>
  <sheetData>
    <row r="1" spans="1:6">
      <c r="A1" s="16" t="s">
        <v>0</v>
      </c>
      <c r="B1" s="17" t="s">
        <v>1</v>
      </c>
      <c r="C1" s="18" t="s">
        <v>2</v>
      </c>
    </row>
    <row r="2" spans="1:6">
      <c r="A2" s="11" t="s">
        <v>5</v>
      </c>
      <c r="B2" s="7">
        <v>800000</v>
      </c>
      <c r="C2" s="12">
        <v>790000</v>
      </c>
    </row>
    <row r="3" spans="1:6">
      <c r="A3" s="11" t="s">
        <v>6</v>
      </c>
      <c r="B3" s="7">
        <v>550000</v>
      </c>
      <c r="C3" s="12">
        <v>540000</v>
      </c>
    </row>
    <row r="4" spans="1:6">
      <c r="A4" s="11" t="s">
        <v>7</v>
      </c>
      <c r="B4" s="7">
        <v>350000</v>
      </c>
      <c r="C4" s="12">
        <v>345000</v>
      </c>
    </row>
    <row r="5" spans="1:6">
      <c r="A5" s="11" t="s">
        <v>8</v>
      </c>
      <c r="B5" s="7">
        <v>400000</v>
      </c>
      <c r="C5" s="12">
        <v>395000</v>
      </c>
    </row>
    <row r="6" spans="1:6">
      <c r="A6" s="11" t="s">
        <v>9</v>
      </c>
      <c r="B6" s="7">
        <v>150000</v>
      </c>
      <c r="C6" s="12">
        <v>148000</v>
      </c>
    </row>
    <row r="7" spans="1:6">
      <c r="A7" s="11" t="s">
        <v>10</v>
      </c>
      <c r="B7" s="7">
        <v>100000</v>
      </c>
      <c r="C7" s="12">
        <v>98000</v>
      </c>
    </row>
    <row r="8" spans="1:6" ht="15" thickBot="1">
      <c r="A8" s="11" t="s">
        <v>11</v>
      </c>
      <c r="B8" s="7">
        <v>300000</v>
      </c>
      <c r="C8" s="12">
        <v>292000</v>
      </c>
    </row>
    <row r="9" spans="1:6" ht="15" thickBot="1">
      <c r="A9" s="11" t="s">
        <v>12</v>
      </c>
      <c r="B9" s="7">
        <v>200000</v>
      </c>
      <c r="C9" s="12">
        <v>195000</v>
      </c>
      <c r="F9" s="15"/>
    </row>
    <row r="10" spans="1:6">
      <c r="A10" s="11" t="s">
        <v>13</v>
      </c>
      <c r="B10" s="7">
        <v>150000</v>
      </c>
      <c r="C10" s="12">
        <v>145000</v>
      </c>
    </row>
    <row r="11" spans="1:6">
      <c r="A11" s="11" t="s">
        <v>14</v>
      </c>
      <c r="B11" s="7">
        <v>75000</v>
      </c>
      <c r="C11" s="12">
        <v>72000</v>
      </c>
    </row>
    <row r="12" spans="1:6">
      <c r="A12" s="11" t="s">
        <v>15</v>
      </c>
      <c r="B12" s="7">
        <v>225000</v>
      </c>
      <c r="C12" s="12">
        <v>220000</v>
      </c>
    </row>
    <row r="13" spans="1:6">
      <c r="A13" s="11" t="s">
        <v>16</v>
      </c>
      <c r="B13" s="7">
        <v>100000</v>
      </c>
      <c r="C13" s="12">
        <v>98000</v>
      </c>
      <c r="E13" s="10"/>
    </row>
    <row r="14" spans="1:6">
      <c r="A14" s="11" t="s">
        <v>17</v>
      </c>
      <c r="B14" s="7">
        <v>125000</v>
      </c>
      <c r="C14" s="12">
        <v>120000</v>
      </c>
    </row>
    <row r="15" spans="1:6">
      <c r="A15" s="11" t="s">
        <v>18</v>
      </c>
      <c r="B15" s="7">
        <v>75000</v>
      </c>
      <c r="C15" s="12">
        <v>70000</v>
      </c>
    </row>
    <row r="16" spans="1:6">
      <c r="A16" s="11" t="s">
        <v>19</v>
      </c>
      <c r="B16" s="7">
        <v>360000</v>
      </c>
      <c r="C16" s="12">
        <v>342000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BE84-8DFF-4AEF-A144-1ED7310C3C3D}">
  <dimension ref="A1:C17"/>
  <sheetViews>
    <sheetView zoomScale="91" workbookViewId="0">
      <selection activeCell="C26" sqref="C26"/>
    </sheetView>
  </sheetViews>
  <sheetFormatPr defaultRowHeight="14.4"/>
  <cols>
    <col min="1" max="1" width="26.109375" customWidth="1"/>
    <col min="2" max="2" width="25.88671875" customWidth="1"/>
    <col min="3" max="3" width="21" customWidth="1"/>
  </cols>
  <sheetData>
    <row r="1" spans="1:3">
      <c r="A1" s="19" t="s">
        <v>0</v>
      </c>
      <c r="B1" s="20" t="s">
        <v>1</v>
      </c>
      <c r="C1" s="24" t="s">
        <v>21</v>
      </c>
    </row>
    <row r="2" spans="1:3">
      <c r="A2" s="21" t="s">
        <v>5</v>
      </c>
      <c r="B2" s="26">
        <v>800000</v>
      </c>
      <c r="C2" s="23">
        <f>B2/SUM($B$2:$B$16)</f>
        <v>0.20202020202020202</v>
      </c>
    </row>
    <row r="3" spans="1:3">
      <c r="A3" s="21" t="s">
        <v>6</v>
      </c>
      <c r="B3" s="26">
        <v>550000</v>
      </c>
      <c r="C3" s="23">
        <f t="shared" ref="C3:C16" si="0">B3/SUM($B$2:$B$16)</f>
        <v>0.1388888888888889</v>
      </c>
    </row>
    <row r="4" spans="1:3">
      <c r="A4" s="21" t="s">
        <v>7</v>
      </c>
      <c r="B4" s="26">
        <v>350000</v>
      </c>
      <c r="C4" s="23">
        <f t="shared" si="0"/>
        <v>8.8383838383838384E-2</v>
      </c>
    </row>
    <row r="5" spans="1:3">
      <c r="A5" s="21" t="s">
        <v>8</v>
      </c>
      <c r="B5" s="26">
        <v>400000</v>
      </c>
      <c r="C5" s="23">
        <f t="shared" si="0"/>
        <v>0.10101010101010101</v>
      </c>
    </row>
    <row r="6" spans="1:3">
      <c r="A6" s="21" t="s">
        <v>9</v>
      </c>
      <c r="B6" s="26">
        <v>150000</v>
      </c>
      <c r="C6" s="23">
        <f t="shared" si="0"/>
        <v>3.787878787878788E-2</v>
      </c>
    </row>
    <row r="7" spans="1:3">
      <c r="A7" s="21" t="s">
        <v>10</v>
      </c>
      <c r="B7" s="26">
        <v>100000</v>
      </c>
      <c r="C7" s="23">
        <f t="shared" si="0"/>
        <v>2.5252525252525252E-2</v>
      </c>
    </row>
    <row r="8" spans="1:3">
      <c r="A8" s="21" t="s">
        <v>11</v>
      </c>
      <c r="B8" s="26">
        <v>300000</v>
      </c>
      <c r="C8" s="23">
        <f t="shared" si="0"/>
        <v>7.575757575757576E-2</v>
      </c>
    </row>
    <row r="9" spans="1:3">
      <c r="A9" s="21" t="s">
        <v>12</v>
      </c>
      <c r="B9" s="26">
        <v>200000</v>
      </c>
      <c r="C9" s="23">
        <f t="shared" si="0"/>
        <v>5.0505050505050504E-2</v>
      </c>
    </row>
    <row r="10" spans="1:3">
      <c r="A10" s="21" t="s">
        <v>13</v>
      </c>
      <c r="B10" s="26">
        <v>150000</v>
      </c>
      <c r="C10" s="23">
        <f t="shared" si="0"/>
        <v>3.787878787878788E-2</v>
      </c>
    </row>
    <row r="11" spans="1:3">
      <c r="A11" s="21" t="s">
        <v>14</v>
      </c>
      <c r="B11" s="26">
        <v>75000</v>
      </c>
      <c r="C11" s="23">
        <f t="shared" si="0"/>
        <v>1.893939393939394E-2</v>
      </c>
    </row>
    <row r="12" spans="1:3">
      <c r="A12" s="21" t="s">
        <v>15</v>
      </c>
      <c r="B12" s="26">
        <v>225000</v>
      </c>
      <c r="C12" s="23">
        <f t="shared" si="0"/>
        <v>5.6818181818181816E-2</v>
      </c>
    </row>
    <row r="13" spans="1:3">
      <c r="A13" s="21" t="s">
        <v>16</v>
      </c>
      <c r="B13" s="26">
        <v>100000</v>
      </c>
      <c r="C13" s="23">
        <f t="shared" si="0"/>
        <v>2.5252525252525252E-2</v>
      </c>
    </row>
    <row r="14" spans="1:3">
      <c r="A14" s="21" t="s">
        <v>17</v>
      </c>
      <c r="B14" s="26">
        <v>125000</v>
      </c>
      <c r="C14" s="23">
        <f t="shared" si="0"/>
        <v>3.1565656565656568E-2</v>
      </c>
    </row>
    <row r="15" spans="1:3">
      <c r="A15" s="21" t="s">
        <v>18</v>
      </c>
      <c r="B15" s="26">
        <v>75000</v>
      </c>
      <c r="C15" s="23">
        <f t="shared" si="0"/>
        <v>1.893939393939394E-2</v>
      </c>
    </row>
    <row r="16" spans="1:3">
      <c r="A16" s="21" t="s">
        <v>19</v>
      </c>
      <c r="B16" s="26">
        <v>360000</v>
      </c>
      <c r="C16" s="23">
        <f t="shared" si="0"/>
        <v>9.0909090909090912E-2</v>
      </c>
    </row>
    <row r="17" spans="1:3">
      <c r="A17" s="22"/>
      <c r="B17" s="22"/>
      <c r="C1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A5FF-3AD4-4C8C-9FCA-C0517952EEB3}">
  <dimension ref="A1:P35"/>
  <sheetViews>
    <sheetView showGridLines="0" tabSelected="1" zoomScale="74" zoomScaleNormal="100" workbookViewId="0">
      <selection activeCell="N23" sqref="N23"/>
    </sheetView>
  </sheetViews>
  <sheetFormatPr defaultRowHeight="14.4"/>
  <cols>
    <col min="1" max="2" width="17.109375" customWidth="1"/>
    <col min="3" max="3" width="15" customWidth="1"/>
    <col min="4" max="4" width="13.6640625" customWidth="1"/>
    <col min="5" max="5" width="15.6640625" customWidth="1"/>
    <col min="6" max="6" width="15" customWidth="1"/>
    <col min="7" max="7" width="14.5546875" customWidth="1"/>
    <col min="8" max="8" width="14.88671875" customWidth="1"/>
  </cols>
  <sheetData>
    <row r="1" spans="1:8">
      <c r="A1" s="31" t="s">
        <v>22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4" spans="1:8" ht="14.4" customHeight="1">
      <c r="A4" s="32" t="s">
        <v>23</v>
      </c>
      <c r="B4" s="33"/>
      <c r="C4" s="34" t="s">
        <v>24</v>
      </c>
      <c r="D4" s="34"/>
      <c r="E4" s="32" t="s">
        <v>25</v>
      </c>
      <c r="F4" s="33"/>
      <c r="G4" s="32" t="s">
        <v>26</v>
      </c>
      <c r="H4" s="33"/>
    </row>
    <row r="5" spans="1:8">
      <c r="A5" s="33"/>
      <c r="B5" s="33"/>
      <c r="C5" s="34"/>
      <c r="D5" s="34"/>
      <c r="E5" s="33"/>
      <c r="F5" s="33"/>
      <c r="G5" s="33"/>
      <c r="H5" s="33"/>
    </row>
    <row r="6" spans="1:8">
      <c r="A6" s="33"/>
      <c r="B6" s="33"/>
      <c r="C6" s="34"/>
      <c r="D6" s="34"/>
      <c r="E6" s="33"/>
      <c r="F6" s="33"/>
      <c r="G6" s="33"/>
      <c r="H6" s="33"/>
    </row>
    <row r="7" spans="1:8" ht="14.4" customHeight="1">
      <c r="C7" s="34"/>
      <c r="D7" s="34"/>
    </row>
    <row r="8" spans="1:8">
      <c r="C8" s="34"/>
      <c r="D8" s="34"/>
    </row>
    <row r="9" spans="1:8">
      <c r="C9" s="34"/>
      <c r="D9" s="34"/>
    </row>
    <row r="25" spans="1:2">
      <c r="A25" s="27" t="s">
        <v>27</v>
      </c>
      <c r="B25" s="27" t="s">
        <v>28</v>
      </c>
    </row>
    <row r="26" spans="1:2">
      <c r="A26" s="21" t="s">
        <v>29</v>
      </c>
      <c r="B26" s="28">
        <v>3960000</v>
      </c>
    </row>
    <row r="27" spans="1:2">
      <c r="A27" s="21" t="s">
        <v>30</v>
      </c>
      <c r="B27" s="28">
        <v>3870000</v>
      </c>
    </row>
    <row r="28" spans="1:2">
      <c r="A28" s="21" t="s">
        <v>31</v>
      </c>
      <c r="B28" s="28">
        <v>90000</v>
      </c>
    </row>
    <row r="29" spans="1:2">
      <c r="A29" s="21" t="s">
        <v>32</v>
      </c>
      <c r="B29" s="29">
        <v>2.3E-2</v>
      </c>
    </row>
    <row r="30" spans="1:2">
      <c r="A30" s="21" t="s">
        <v>33</v>
      </c>
      <c r="B30" s="21" t="s">
        <v>5</v>
      </c>
    </row>
    <row r="31" spans="1:2">
      <c r="A31" s="21" t="s">
        <v>34</v>
      </c>
      <c r="B31" s="29">
        <v>0.20200000000000001</v>
      </c>
    </row>
    <row r="32" spans="1:2" ht="28.8">
      <c r="A32" s="21" t="s">
        <v>35</v>
      </c>
      <c r="B32" s="21">
        <v>15</v>
      </c>
    </row>
    <row r="34" spans="1:16">
      <c r="A34" s="30" t="s">
        <v>36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</sheetData>
  <mergeCells count="6">
    <mergeCell ref="A34:P35"/>
    <mergeCell ref="A1:H2"/>
    <mergeCell ref="A4:B6"/>
    <mergeCell ref="C4:D9"/>
    <mergeCell ref="E4:F6"/>
    <mergeCell ref="G4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Summary</vt:lpstr>
      <vt:lpstr>Budget vs Actual</vt:lpstr>
      <vt:lpstr>Expense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2026-06-26T14:26:59Z</dcterms:created>
  <dcterms:modified xsi:type="dcterms:W3CDTF">2026-06-27T08:06:36Z</dcterms:modified>
</cp:coreProperties>
</file>